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lkulation" state="visible" r:id="rId4"/>
  </sheets>
  <calcPr calcId="171027" fullCalcOnLoad="1"/>
</workbook>
</file>

<file path=xl/sharedStrings.xml><?xml version="1.0" encoding="utf-8"?>
<sst xmlns="http://schemas.openxmlformats.org/spreadsheetml/2006/main" count="85" uniqueCount="60">
  <si>
    <t>Projektkalkulation – Grundstücksparzellierung</t>
  </si>
  <si>
    <t>Ankauf → Parzellierung → je Parzelle ein Haus bauen und verkaufen  ·  max. 10 Parzellen</t>
  </si>
  <si>
    <t>Gelb = Eingabe   ·   Grau = automatisch berechnet (bitte nicht überschreiben)</t>
  </si>
  <si>
    <t>Grundstück &amp; Ankauf</t>
  </si>
  <si>
    <t>Grundstücksgröße (m²)</t>
  </si>
  <si>
    <t>Nettokaufpreis (€)</t>
  </si>
  <si>
    <t>Grunderwerbsteuer (%)</t>
  </si>
  <si>
    <t>Notarkosten (%)</t>
  </si>
  <si>
    <t>Maklerkosten (%)</t>
  </si>
  <si>
    <t>Sonstige Erwerbsnebenkosten (%)</t>
  </si>
  <si>
    <t>Erwerbsnebenkosten gesamt (€)</t>
  </si>
  <si>
    <t>Bruttokaufpreis (€)</t>
  </si>
  <si>
    <t>Baunebenkosten</t>
  </si>
  <si>
    <t>Bezeichnung</t>
  </si>
  <si>
    <t>Modus</t>
  </si>
  <si>
    <t>Ansatz (€)</t>
  </si>
  <si>
    <t>Gesamt (€)</t>
  </si>
  <si>
    <t>Teilung &amp; Genehmigung</t>
  </si>
  <si>
    <t>je Haus</t>
  </si>
  <si>
    <t>Hausanschlusskosten</t>
  </si>
  <si>
    <t>Abrisskosten</t>
  </si>
  <si>
    <t>Pauschal</t>
  </si>
  <si>
    <t>Sonstiges</t>
  </si>
  <si>
    <t/>
  </si>
  <si>
    <t>Summe Baunebenkosten (€)</t>
  </si>
  <si>
    <t>Parzellen (max. 10)</t>
  </si>
  <si>
    <t>Anzahl aktive Parzellen</t>
  </si>
  <si>
    <t>Ø Grundstück je Parzelle (m²)</t>
  </si>
  <si>
    <t>Grundstückskosten (EK) je Parzelle (€)</t>
  </si>
  <si>
    <t>Baunebenkosten je Parzelle (€)</t>
  </si>
  <si>
    <t>#</t>
  </si>
  <si>
    <t>Wohnfläche (m²)</t>
  </si>
  <si>
    <t>Baukosten (€/m²)</t>
  </si>
  <si>
    <t>Hauskosten (€)</t>
  </si>
  <si>
    <t>Grundstück (m²)</t>
  </si>
  <si>
    <t>Verkaufspreis Haus (€)</t>
  </si>
  <si>
    <t>Gestehungskosten (€)</t>
  </si>
  <si>
    <t>Deckungsbeitrag (€)</t>
  </si>
  <si>
    <t>Summe</t>
  </si>
  <si>
    <t>Finanzierung</t>
  </si>
  <si>
    <t>GIK – Gesamtinvestitionskosten (€)</t>
  </si>
  <si>
    <t>Eigenkapitalquote (%)</t>
  </si>
  <si>
    <t>Eigenkapital (€)</t>
  </si>
  <si>
    <t>Fremdkapital (€)</t>
  </si>
  <si>
    <t>Zinssatz (% p.a.)</t>
  </si>
  <si>
    <t>Laufzeit (Monate)</t>
  </si>
  <si>
    <t>Zinskosten (€)</t>
  </si>
  <si>
    <t>Bearbeitungsgebühr (%)</t>
  </si>
  <si>
    <t>Bearbeitungsgebühr (€)</t>
  </si>
  <si>
    <t>Finanzierungskosten gesamt (€)</t>
  </si>
  <si>
    <t>Vertrieb &amp; Verkaufserlös</t>
  </si>
  <si>
    <t>Verkaufserlös gesamt (€)</t>
  </si>
  <si>
    <t>Vertriebskosten (%)</t>
  </si>
  <si>
    <t>Vertriebskosten (€)</t>
  </si>
  <si>
    <t>Sonstige Kosten vom Ertrag (%)</t>
  </si>
  <si>
    <t>Sonstige Kosten vom Ertrag (€)</t>
  </si>
  <si>
    <t>Ergebnis</t>
  </si>
  <si>
    <t>Deckungsbeitrag / Projektergebnis (€)</t>
  </si>
  <si>
    <t>Projektmarge (% v. GIK)</t>
  </si>
  <si>
    <t>EK-Rendite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</si>
</sst>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 &quot;€&quot;"/>
    <numFmt numFmtId="165" formatCode="0.00&quot;%&quot;"/>
  </numFmts>
  <fonts count="14" x14ac:knownFonts="1">
    <font>
      <color theme="1"/>
      <family val="2"/>
      <scheme val="minor"/>
      <sz val="11"/>
      <name val="Calibri"/>
    </font>
    <font>
      <b/>
      <color rgb="FF1B2430"/>
      <sz val="16"/>
    </font>
    <font>
      <i/>
      <color rgb="FF6B7280"/>
      <sz val="10"/>
    </font>
    <font>
      <color rgb="FF6B7280"/>
      <sz val="9"/>
    </font>
    <font>
      <b/>
      <color rgb="FF1B2430"/>
      <sz val="12"/>
    </font>
    <font>
      <sz val="11"/>
    </font>
    <font>
      <color rgb="FF1B2430"/>
    </font>
    <font>
      <b/>
      <sz val="11"/>
    </font>
    <font>
      <i/>
      <color rgb="FF555F6E"/>
    </font>
    <font>
      <b/>
      <sz val="10"/>
    </font>
    <font>
      <color rgb="FF9AA3AF"/>
    </font>
    <font>
      <b/>
      <color rgb="FFFFFFFF"/>
      <sz val="12"/>
    </font>
    <font>
      <b/>
      <color rgb="FFFFFFFF"/>
      <sz val="13"/>
    </font>
    <font>
      <b/>
      <color rgb="FF3DDC84"/>
      <sz val="13"/>
    </font>
  </fonts>
  <fills count="6">
    <fill>
      <patternFill patternType="none"/>
    </fill>
    <fill>
      <patternFill patternType="gray125"/>
    </fill>
    <fill>
      <patternFill patternType="solid">
        <fgColor rgb="FFE7ECF5"/>
      </patternFill>
    </fill>
    <fill>
      <patternFill patternType="solid">
        <fgColor rgb="FFFFF6D9"/>
      </patternFill>
    </fill>
    <fill>
      <patternFill patternType="solid">
        <fgColor rgb="FFF3F4F6"/>
      </patternFill>
    </fill>
    <fill>
      <patternFill patternType="solid">
        <fgColor rgb="FF1B2430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/>
      <bottom style="thin">
        <color rgb="FFD5DA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6" fillId="3" borderId="1" xfId="0" applyNumberFormat="1" applyFont="1" applyFill="1" applyBorder="1" applyAlignment="1">
      <alignment horizontal="right"/>
    </xf>
    <xf numFmtId="164" fontId="6" fillId="3" borderId="1" xfId="0" applyNumberFormat="1" applyFont="1" applyFill="1" applyBorder="1" applyAlignment="1">
      <alignment horizontal="right"/>
    </xf>
    <xf numFmtId="165" fontId="6" fillId="3" borderId="1" xfId="0" applyNumberFormat="1" applyFont="1" applyFill="1" applyBorder="1" applyAlignment="1">
      <alignment horizontal="right"/>
    </xf>
    <xf numFmtId="0" fontId="7" fillId="0" borderId="0" xfId="0" applyFont="1" applyAlignment="1">
      <alignment horizontal="left" vertical="center"/>
    </xf>
    <xf numFmtId="164" fontId="8" fillId="4" borderId="1" xfId="0" applyNumberFormat="1" applyFont="1" applyFill="1" applyBorder="1" applyAlignment="1">
      <alignment horizontal="right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right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/>
    </xf>
    <xf numFmtId="3" fontId="8" fillId="4" borderId="1" xfId="0" applyNumberFormat="1" applyFont="1" applyFill="1" applyBorder="1" applyAlignment="1">
      <alignment horizontal="right"/>
    </xf>
    <xf numFmtId="0" fontId="9" fillId="0" borderId="2" xfId="0" applyFont="1" applyBorder="1" applyAlignment="1">
      <alignment horizontal="center" vertical="bottom" wrapText="1"/>
    </xf>
    <xf numFmtId="0" fontId="9" fillId="0" borderId="2" xfId="0" applyFont="1" applyBorder="1" applyAlignment="1">
      <alignment horizontal="right" vertical="bottom" wrapText="1"/>
    </xf>
    <xf numFmtId="0" fontId="10" fillId="0" borderId="0" xfId="0" applyFont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164" fontId="12" fillId="5" borderId="0" xfId="0" applyNumberFormat="1" applyFont="1" applyFill="1" applyAlignment="1">
      <alignment horizontal="right"/>
    </xf>
    <xf numFmtId="165" fontId="13" fillId="5" borderId="0" xfId="0" applyNumberFormat="1" applyFont="1" applyFill="1" applyAlignment="1">
      <alignment horizontal="right"/>
    </xf>
    <xf numFmtId="165" fontId="12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style="1" customWidth="1"/>
    <col min="2" max="5" width="15" style="2" customWidth="1"/>
    <col min="6" max="8" width="16" style="2" customWidth="1"/>
  </cols>
  <sheetData>
    <row r="1" ht="28" customHeight="1" spans="1:8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25">
      <c r="A2" s="4" t="s">
        <v>1</v>
      </c>
      <c r="B2" s="4"/>
      <c r="C2" s="4"/>
      <c r="D2" s="4"/>
      <c r="E2" s="4"/>
      <c r="F2" s="4"/>
      <c r="G2" s="4"/>
      <c r="H2" s="4"/>
    </row>
    <row r="3" spans="1:8" x14ac:dyDescent="0.25">
      <c r="A3" s="5" t="s">
        <v>2</v>
      </c>
      <c r="B3" s="5"/>
      <c r="C3" s="5"/>
      <c r="D3" s="5"/>
      <c r="E3" s="5"/>
      <c r="F3" s="5"/>
      <c r="G3" s="5"/>
      <c r="H3" s="5"/>
    </row>
    <row r="5" ht="22" customHeight="1" spans="1:8" x14ac:dyDescent="0.25">
      <c r="A5" s="6" t="s">
        <v>3</v>
      </c>
      <c r="B5" s="6"/>
      <c r="C5" s="6"/>
      <c r="D5" s="6"/>
      <c r="E5" s="6"/>
      <c r="F5" s="6"/>
      <c r="G5" s="6"/>
      <c r="H5" s="6"/>
    </row>
    <row r="6" spans="1:8" x14ac:dyDescent="0.25">
      <c r="A6" s="7" t="s">
        <v>4</v>
      </c>
      <c r="B6" s="8">
        <v>999</v>
      </c>
      <c r="C6" s="2"/>
      <c r="D6" s="2"/>
      <c r="E6" s="2"/>
      <c r="F6" s="2"/>
      <c r="G6" s="2"/>
      <c r="H6" s="2"/>
    </row>
    <row r="7" spans="1:8" x14ac:dyDescent="0.25">
      <c r="A7" s="7" t="s">
        <v>5</v>
      </c>
      <c r="B7" s="9">
        <v>500000</v>
      </c>
      <c r="C7" s="2"/>
      <c r="D7" s="2"/>
      <c r="E7" s="2"/>
      <c r="F7" s="2"/>
      <c r="G7" s="2"/>
      <c r="H7" s="2"/>
    </row>
    <row r="8" spans="1:8" x14ac:dyDescent="0.25">
      <c r="A8" s="7" t="s">
        <v>6</v>
      </c>
      <c r="B8" s="10">
        <v>6</v>
      </c>
      <c r="C8" s="2"/>
      <c r="D8" s="2"/>
      <c r="E8" s="2"/>
      <c r="F8" s="2"/>
      <c r="G8" s="2"/>
      <c r="H8" s="2"/>
    </row>
    <row r="9" spans="1:8" x14ac:dyDescent="0.25">
      <c r="A9" s="7" t="s">
        <v>7</v>
      </c>
      <c r="B9" s="10">
        <v>1.5</v>
      </c>
      <c r="C9" s="2"/>
      <c r="D9" s="2"/>
      <c r="E9" s="2"/>
      <c r="F9" s="2"/>
      <c r="G9" s="2"/>
      <c r="H9" s="2"/>
    </row>
    <row r="10" spans="1:8" x14ac:dyDescent="0.25">
      <c r="A10" s="7" t="s">
        <v>8</v>
      </c>
      <c r="B10" s="10">
        <v>6</v>
      </c>
      <c r="C10" s="2"/>
      <c r="D10" s="2"/>
      <c r="E10" s="2"/>
      <c r="F10" s="2"/>
      <c r="G10" s="2"/>
      <c r="H10" s="2"/>
    </row>
    <row r="11" spans="1:8" x14ac:dyDescent="0.25">
      <c r="A11" s="7" t="s">
        <v>9</v>
      </c>
      <c r="B11" s="10">
        <v>0.5</v>
      </c>
      <c r="C11" s="2"/>
      <c r="D11" s="2"/>
      <c r="E11" s="2"/>
      <c r="F11" s="2"/>
      <c r="G11" s="2"/>
      <c r="H11" s="2"/>
    </row>
    <row r="12" spans="1:8" x14ac:dyDescent="0.25">
      <c r="A12" s="11" t="s">
        <v>10</v>
      </c>
      <c r="B12" s="12">
        <f>B7*(B8+B9+B10+B11)/100</f>
      </c>
      <c r="C12" s="2"/>
      <c r="D12" s="2"/>
      <c r="E12" s="2"/>
      <c r="F12" s="2"/>
      <c r="G12" s="2"/>
      <c r="H12" s="2"/>
    </row>
    <row r="13" spans="1:8" x14ac:dyDescent="0.25">
      <c r="A13" s="11" t="s">
        <v>11</v>
      </c>
      <c r="B13" s="12">
        <f>B7+B12</f>
      </c>
      <c r="C13" s="2"/>
      <c r="D13" s="2"/>
      <c r="E13" s="2"/>
      <c r="F13" s="2"/>
      <c r="G13" s="2"/>
      <c r="H13" s="2"/>
    </row>
    <row r="15" ht="22" customHeight="1" spans="1:8" x14ac:dyDescent="0.25">
      <c r="A15" s="6" t="s">
        <v>12</v>
      </c>
      <c r="B15" s="6"/>
      <c r="C15" s="6"/>
      <c r="D15" s="6"/>
      <c r="E15" s="6"/>
      <c r="F15" s="6"/>
      <c r="G15" s="6"/>
      <c r="H15" s="6"/>
    </row>
    <row r="16" spans="1:8" x14ac:dyDescent="0.25">
      <c r="A16" s="13" t="s">
        <v>13</v>
      </c>
      <c r="B16" s="14" t="s">
        <v>14</v>
      </c>
      <c r="C16" s="14" t="s">
        <v>15</v>
      </c>
      <c r="D16" s="14" t="s">
        <v>16</v>
      </c>
      <c r="E16" s="2"/>
      <c r="F16" s="2"/>
      <c r="G16" s="2"/>
      <c r="H16" s="2"/>
    </row>
    <row r="17" spans="1:8" x14ac:dyDescent="0.25">
      <c r="A17" s="15" t="s">
        <v>17</v>
      </c>
      <c r="B17" s="16" t="s">
        <v>18</v>
      </c>
      <c r="C17" s="9">
        <v>5000</v>
      </c>
      <c r="D17" s="12">
        <f>IF(C17="","",IF(B17="je Haus",C17*$B$25,C17))</f>
      </c>
      <c r="E17" s="2"/>
      <c r="F17" s="2"/>
      <c r="G17" s="2"/>
      <c r="H17" s="2"/>
    </row>
    <row r="18" spans="1:8" x14ac:dyDescent="0.25">
      <c r="A18" s="15" t="s">
        <v>19</v>
      </c>
      <c r="B18" s="16" t="s">
        <v>18</v>
      </c>
      <c r="C18" s="9">
        <v>15000</v>
      </c>
      <c r="D18" s="12">
        <f>IF(C18="","",IF(B18="je Haus",C18*$B$25,C18))</f>
      </c>
      <c r="E18" s="2"/>
      <c r="F18" s="2"/>
      <c r="G18" s="2"/>
      <c r="H18" s="2"/>
    </row>
    <row r="19" spans="1:8" x14ac:dyDescent="0.25">
      <c r="A19" s="15" t="s">
        <v>20</v>
      </c>
      <c r="B19" s="16" t="s">
        <v>21</v>
      </c>
      <c r="C19" s="9">
        <v>60000</v>
      </c>
      <c r="D19" s="12">
        <f>IF(C19="","",IF(B19="je Haus",C19*$B$25,C19))</f>
      </c>
      <c r="E19" s="2"/>
      <c r="F19" s="2"/>
      <c r="G19" s="2"/>
      <c r="H19" s="2"/>
    </row>
    <row r="20" spans="1:8" x14ac:dyDescent="0.25">
      <c r="A20" s="15" t="s">
        <v>22</v>
      </c>
      <c r="B20" s="16" t="s">
        <v>21</v>
      </c>
      <c r="C20" s="9">
        <v>60000</v>
      </c>
      <c r="D20" s="12">
        <f>IF(C20="","",IF(B20="je Haus",C20*$B$25,C20))</f>
      </c>
      <c r="E20" s="2"/>
      <c r="F20" s="2"/>
      <c r="G20" s="2"/>
      <c r="H20" s="2"/>
    </row>
    <row r="21" spans="1:8" x14ac:dyDescent="0.25">
      <c r="A21" s="15" t="s">
        <v>23</v>
      </c>
      <c r="B21" s="16" t="s">
        <v>21</v>
      </c>
      <c r="C21" s="16" t="s">
        <v>23</v>
      </c>
      <c r="D21" s="12">
        <f>IF(C21="","",IF(B21="je Haus",C21*$B$25,C21))</f>
      </c>
      <c r="E21" s="2"/>
      <c r="F21" s="2"/>
      <c r="G21" s="2"/>
      <c r="H21" s="2"/>
    </row>
    <row r="22" spans="1:8" x14ac:dyDescent="0.25">
      <c r="A22" s="11" t="s">
        <v>24</v>
      </c>
      <c r="B22" s="12">
        <f>SUM(D17:D21)</f>
      </c>
      <c r="C22" s="2"/>
      <c r="D22" s="2"/>
      <c r="E22" s="2"/>
      <c r="F22" s="2"/>
      <c r="G22" s="2"/>
      <c r="H22" s="2"/>
    </row>
    <row r="24" ht="22" customHeight="1" spans="1:8" x14ac:dyDescent="0.25">
      <c r="A24" s="6" t="s">
        <v>25</v>
      </c>
      <c r="B24" s="6"/>
      <c r="C24" s="6"/>
      <c r="D24" s="6"/>
      <c r="E24" s="6"/>
      <c r="F24" s="6"/>
      <c r="G24" s="6"/>
      <c r="H24" s="6"/>
    </row>
    <row r="25" spans="1:8" x14ac:dyDescent="0.25">
      <c r="A25" s="7" t="s">
        <v>26</v>
      </c>
      <c r="B25" s="17">
        <f>COUNTIF(B31:B40,"&gt;0")</f>
      </c>
      <c r="C25" s="2"/>
      <c r="D25" s="2"/>
      <c r="E25" s="2"/>
      <c r="F25" s="2"/>
      <c r="G25" s="2"/>
      <c r="H25" s="2"/>
    </row>
    <row r="26" spans="1:8" x14ac:dyDescent="0.25">
      <c r="A26" s="7" t="s">
        <v>27</v>
      </c>
      <c r="B26" s="17">
        <f>IF($B$25=0,0,B6/$B$25)</f>
      </c>
      <c r="C26" s="2"/>
      <c r="D26" s="2"/>
      <c r="E26" s="2"/>
      <c r="F26" s="2"/>
      <c r="G26" s="2"/>
      <c r="H26" s="2"/>
    </row>
    <row r="27" spans="1:8" x14ac:dyDescent="0.25">
      <c r="A27" s="7" t="s">
        <v>28</v>
      </c>
      <c r="B27" s="12">
        <f>IF($B$25=0,0,B13/$B$25)</f>
      </c>
      <c r="C27" s="2"/>
      <c r="D27" s="2"/>
      <c r="E27" s="2"/>
      <c r="F27" s="2"/>
      <c r="G27" s="2"/>
      <c r="H27" s="2"/>
    </row>
    <row r="28" spans="1:8" x14ac:dyDescent="0.25">
      <c r="A28" s="7" t="s">
        <v>29</v>
      </c>
      <c r="B28" s="12">
        <f>IF($B$25=0,0,B22/$B$25)</f>
      </c>
      <c r="C28" s="2"/>
      <c r="D28" s="2"/>
      <c r="E28" s="2"/>
      <c r="F28" s="2"/>
      <c r="G28" s="2"/>
      <c r="H28" s="2"/>
    </row>
    <row r="30" ht="28" customHeight="1" spans="1:8" x14ac:dyDescent="0.25">
      <c r="A30" s="18" t="s">
        <v>30</v>
      </c>
      <c r="B30" s="19" t="s">
        <v>31</v>
      </c>
      <c r="C30" s="19" t="s">
        <v>32</v>
      </c>
      <c r="D30" s="19" t="s">
        <v>33</v>
      </c>
      <c r="E30" s="19" t="s">
        <v>34</v>
      </c>
      <c r="F30" s="19" t="s">
        <v>35</v>
      </c>
      <c r="G30" s="19" t="s">
        <v>36</v>
      </c>
      <c r="H30" s="19" t="s">
        <v>37</v>
      </c>
    </row>
    <row r="31" spans="1:8" x14ac:dyDescent="0.25">
      <c r="A31" s="20">
        <v>1</v>
      </c>
      <c r="B31" s="8">
        <v>130</v>
      </c>
      <c r="C31" s="9">
        <v>2800</v>
      </c>
      <c r="D31" s="12">
        <f>IF(B31="","",B31*C31)</f>
      </c>
      <c r="E31" s="17">
        <f>IF(B31="","",$B$26)</f>
      </c>
      <c r="F31" s="9">
        <v>599000</v>
      </c>
      <c r="G31" s="12">
        <f>IF(B31="","",$B$27+D31+$B$28)</f>
      </c>
      <c r="H31" s="12">
        <f>IF(B31="","",F31-G31)</f>
      </c>
    </row>
    <row r="32" spans="1:8" x14ac:dyDescent="0.25">
      <c r="A32" s="20">
        <v>2</v>
      </c>
      <c r="B32" s="8">
        <v>130</v>
      </c>
      <c r="C32" s="9">
        <v>2800</v>
      </c>
      <c r="D32" s="12">
        <f>IF(B32="","",B32*C32)</f>
      </c>
      <c r="E32" s="17">
        <f>IF(B32="","",$B$26)</f>
      </c>
      <c r="F32" s="9">
        <v>599000</v>
      </c>
      <c r="G32" s="12">
        <f>IF(B32="","",$B$27+D32+$B$28)</f>
      </c>
      <c r="H32" s="12">
        <f>IF(B32="","",F32-G32)</f>
      </c>
    </row>
    <row r="33" spans="1:8" x14ac:dyDescent="0.25">
      <c r="A33" s="20">
        <v>3</v>
      </c>
      <c r="B33" s="8">
        <v>130</v>
      </c>
      <c r="C33" s="9">
        <v>2800</v>
      </c>
      <c r="D33" s="12">
        <f>IF(B33="","",B33*C33)</f>
      </c>
      <c r="E33" s="17">
        <f>IF(B33="","",$B$26)</f>
      </c>
      <c r="F33" s="9">
        <v>599000</v>
      </c>
      <c r="G33" s="12">
        <f>IF(B33="","",$B$27+D33+$B$28)</f>
      </c>
      <c r="H33" s="12">
        <f>IF(B33="","",F33-G33)</f>
      </c>
    </row>
    <row r="34" spans="1:8" x14ac:dyDescent="0.25">
      <c r="A34" s="20">
        <v>4</v>
      </c>
      <c r="B34" s="8" t="s">
        <v>23</v>
      </c>
      <c r="C34" s="9" t="s">
        <v>23</v>
      </c>
      <c r="D34" s="12">
        <f>IF(B34="","",B34*C34)</f>
      </c>
      <c r="E34" s="17">
        <f>IF(B34="","",$B$26)</f>
      </c>
      <c r="F34" s="9" t="s">
        <v>23</v>
      </c>
      <c r="G34" s="12">
        <f>IF(B34="","",$B$27+D34+$B$28)</f>
      </c>
      <c r="H34" s="12">
        <f>IF(B34="","",F34-G34)</f>
      </c>
    </row>
    <row r="35" spans="1:8" x14ac:dyDescent="0.25">
      <c r="A35" s="20">
        <v>5</v>
      </c>
      <c r="B35" s="8" t="s">
        <v>23</v>
      </c>
      <c r="C35" s="9" t="s">
        <v>23</v>
      </c>
      <c r="D35" s="12">
        <f>IF(B35="","",B35*C35)</f>
      </c>
      <c r="E35" s="17">
        <f>IF(B35="","",$B$26)</f>
      </c>
      <c r="F35" s="9" t="s">
        <v>23</v>
      </c>
      <c r="G35" s="12">
        <f>IF(B35="","",$B$27+D35+$B$28)</f>
      </c>
      <c r="H35" s="12">
        <f>IF(B35="","",F35-G35)</f>
      </c>
    </row>
    <row r="36" spans="1:8" x14ac:dyDescent="0.25">
      <c r="A36" s="20">
        <v>6</v>
      </c>
      <c r="B36" s="8" t="s">
        <v>23</v>
      </c>
      <c r="C36" s="9" t="s">
        <v>23</v>
      </c>
      <c r="D36" s="12">
        <f>IF(B36="","",B36*C36)</f>
      </c>
      <c r="E36" s="17">
        <f>IF(B36="","",$B$26)</f>
      </c>
      <c r="F36" s="9" t="s">
        <v>23</v>
      </c>
      <c r="G36" s="12">
        <f>IF(B36="","",$B$27+D36+$B$28)</f>
      </c>
      <c r="H36" s="12">
        <f>IF(B36="","",F36-G36)</f>
      </c>
    </row>
    <row r="37" spans="1:8" x14ac:dyDescent="0.25">
      <c r="A37" s="20">
        <v>7</v>
      </c>
      <c r="B37" s="8" t="s">
        <v>23</v>
      </c>
      <c r="C37" s="9" t="s">
        <v>23</v>
      </c>
      <c r="D37" s="12">
        <f>IF(B37="","",B37*C37)</f>
      </c>
      <c r="E37" s="17">
        <f>IF(B37="","",$B$26)</f>
      </c>
      <c r="F37" s="9" t="s">
        <v>23</v>
      </c>
      <c r="G37" s="12">
        <f>IF(B37="","",$B$27+D37+$B$28)</f>
      </c>
      <c r="H37" s="12">
        <f>IF(B37="","",F37-G37)</f>
      </c>
    </row>
    <row r="38" spans="1:8" x14ac:dyDescent="0.25">
      <c r="A38" s="20">
        <v>8</v>
      </c>
      <c r="B38" s="8" t="s">
        <v>23</v>
      </c>
      <c r="C38" s="9" t="s">
        <v>23</v>
      </c>
      <c r="D38" s="12">
        <f>IF(B38="","",B38*C38)</f>
      </c>
      <c r="E38" s="17">
        <f>IF(B38="","",$B$26)</f>
      </c>
      <c r="F38" s="9" t="s">
        <v>23</v>
      </c>
      <c r="G38" s="12">
        <f>IF(B38="","",$B$27+D38+$B$28)</f>
      </c>
      <c r="H38" s="12">
        <f>IF(B38="","",F38-G38)</f>
      </c>
    </row>
    <row r="39" spans="1:8" x14ac:dyDescent="0.25">
      <c r="A39" s="20">
        <v>9</v>
      </c>
      <c r="B39" s="8" t="s">
        <v>23</v>
      </c>
      <c r="C39" s="9" t="s">
        <v>23</v>
      </c>
      <c r="D39" s="12">
        <f>IF(B39="","",B39*C39)</f>
      </c>
      <c r="E39" s="17">
        <f>IF(B39="","",$B$26)</f>
      </c>
      <c r="F39" s="9" t="s">
        <v>23</v>
      </c>
      <c r="G39" s="12">
        <f>IF(B39="","",$B$27+D39+$B$28)</f>
      </c>
      <c r="H39" s="12">
        <f>IF(B39="","",F39-G39)</f>
      </c>
    </row>
    <row r="40" spans="1:8" x14ac:dyDescent="0.25">
      <c r="A40" s="20">
        <v>10</v>
      </c>
      <c r="B40" s="8" t="s">
        <v>23</v>
      </c>
      <c r="C40" s="9" t="s">
        <v>23</v>
      </c>
      <c r="D40" s="12">
        <f>IF(B40="","",B40*C40)</f>
      </c>
      <c r="E40" s="17">
        <f>IF(B40="","",$B$26)</f>
      </c>
      <c r="F40" s="9" t="s">
        <v>23</v>
      </c>
      <c r="G40" s="12">
        <f>IF(B40="","",$B$27+D40+$B$28)</f>
      </c>
      <c r="H40" s="12">
        <f>IF(B40="","",F40-G40)</f>
      </c>
    </row>
    <row r="41" spans="1:8" x14ac:dyDescent="0.25">
      <c r="A41" s="11" t="s">
        <v>38</v>
      </c>
      <c r="B41" s="17">
        <f>SUM(B31:B40)</f>
      </c>
      <c r="C41" s="2"/>
      <c r="D41" s="12">
        <f>SUM(D31:D40)</f>
      </c>
      <c r="E41" s="17">
        <f>SUM(E31:E40)</f>
      </c>
      <c r="F41" s="12">
        <f>SUM(F31:F40)</f>
      </c>
      <c r="G41" s="12">
        <f>SUM(G31:G40)</f>
      </c>
      <c r="H41" s="12">
        <f>SUM(H31:H40)</f>
      </c>
    </row>
    <row r="43" ht="22" customHeight="1" spans="1:8" x14ac:dyDescent="0.25">
      <c r="A43" s="6" t="s">
        <v>39</v>
      </c>
      <c r="B43" s="6"/>
      <c r="C43" s="6"/>
      <c r="D43" s="6"/>
      <c r="E43" s="6"/>
      <c r="F43" s="6"/>
      <c r="G43" s="6"/>
      <c r="H43" s="6"/>
    </row>
    <row r="44" spans="1:8" x14ac:dyDescent="0.25">
      <c r="A44" s="11" t="s">
        <v>40</v>
      </c>
      <c r="B44" s="12">
        <f>B13+B22</f>
      </c>
      <c r="C44" s="2"/>
      <c r="D44" s="2"/>
      <c r="E44" s="2"/>
      <c r="F44" s="2"/>
      <c r="G44" s="2"/>
      <c r="H44" s="2"/>
    </row>
    <row r="45" spans="1:8" x14ac:dyDescent="0.25">
      <c r="A45" s="7" t="s">
        <v>41</v>
      </c>
      <c r="B45" s="10">
        <v>20</v>
      </c>
      <c r="C45" s="2"/>
      <c r="D45" s="2"/>
      <c r="E45" s="2"/>
      <c r="F45" s="2"/>
      <c r="G45" s="2"/>
      <c r="H45" s="2"/>
    </row>
    <row r="46" spans="1:8" x14ac:dyDescent="0.25">
      <c r="A46" s="7" t="s">
        <v>42</v>
      </c>
      <c r="B46" s="12">
        <f>B44*B45/100</f>
      </c>
      <c r="C46" s="2"/>
      <c r="D46" s="2"/>
      <c r="E46" s="2"/>
      <c r="F46" s="2"/>
      <c r="G46" s="2"/>
      <c r="H46" s="2"/>
    </row>
    <row r="47" spans="1:8" x14ac:dyDescent="0.25">
      <c r="A47" s="7" t="s">
        <v>43</v>
      </c>
      <c r="B47" s="12">
        <f>B44-B46</f>
      </c>
      <c r="C47" s="2"/>
      <c r="D47" s="2"/>
      <c r="E47" s="2"/>
      <c r="F47" s="2"/>
      <c r="G47" s="2"/>
      <c r="H47" s="2"/>
    </row>
    <row r="48" spans="1:8" x14ac:dyDescent="0.25">
      <c r="A48" s="7" t="s">
        <v>44</v>
      </c>
      <c r="B48" s="10">
        <v>6</v>
      </c>
      <c r="C48" s="2"/>
      <c r="D48" s="2"/>
      <c r="E48" s="2"/>
      <c r="F48" s="2"/>
      <c r="G48" s="2"/>
      <c r="H48" s="2"/>
    </row>
    <row r="49" spans="1:8" x14ac:dyDescent="0.25">
      <c r="A49" s="7" t="s">
        <v>45</v>
      </c>
      <c r="B49" s="8">
        <v>12</v>
      </c>
      <c r="C49" s="2"/>
      <c r="D49" s="2"/>
      <c r="E49" s="2"/>
      <c r="F49" s="2"/>
      <c r="G49" s="2"/>
      <c r="H49" s="2"/>
    </row>
    <row r="50" spans="1:8" x14ac:dyDescent="0.25">
      <c r="A50" s="7" t="s">
        <v>46</v>
      </c>
      <c r="B50" s="12">
        <f>B48/100*B47/12*B49</f>
      </c>
      <c r="C50" s="2"/>
      <c r="D50" s="2"/>
      <c r="E50" s="2"/>
      <c r="F50" s="2"/>
      <c r="G50" s="2"/>
      <c r="H50" s="2"/>
    </row>
    <row r="51" spans="1:8" x14ac:dyDescent="0.25">
      <c r="A51" s="7" t="s">
        <v>47</v>
      </c>
      <c r="B51" s="10">
        <v>0</v>
      </c>
      <c r="C51" s="2"/>
      <c r="D51" s="2"/>
      <c r="E51" s="2"/>
      <c r="F51" s="2"/>
      <c r="G51" s="2"/>
      <c r="H51" s="2"/>
    </row>
    <row r="52" spans="1:8" x14ac:dyDescent="0.25">
      <c r="A52" s="7" t="s">
        <v>48</v>
      </c>
      <c r="B52" s="12">
        <f>B51/100*B47</f>
      </c>
      <c r="C52" s="2"/>
      <c r="D52" s="2"/>
      <c r="E52" s="2"/>
      <c r="F52" s="2"/>
      <c r="G52" s="2"/>
      <c r="H52" s="2"/>
    </row>
    <row r="53" spans="1:8" x14ac:dyDescent="0.25">
      <c r="A53" s="11" t="s">
        <v>49</v>
      </c>
      <c r="B53" s="12">
        <f>B50+B52</f>
      </c>
      <c r="C53" s="2"/>
      <c r="D53" s="2"/>
      <c r="E53" s="2"/>
      <c r="F53" s="2"/>
      <c r="G53" s="2"/>
      <c r="H53" s="2"/>
    </row>
    <row r="55" ht="22" customHeight="1" spans="1:8" x14ac:dyDescent="0.25">
      <c r="A55" s="6" t="s">
        <v>50</v>
      </c>
      <c r="B55" s="6"/>
      <c r="C55" s="6"/>
      <c r="D55" s="6"/>
      <c r="E55" s="6"/>
      <c r="F55" s="6"/>
      <c r="G55" s="6"/>
      <c r="H55" s="6"/>
    </row>
    <row r="56" spans="1:8" x14ac:dyDescent="0.25">
      <c r="A56" s="11" t="s">
        <v>51</v>
      </c>
      <c r="B56" s="12">
        <f>F41</f>
      </c>
      <c r="C56" s="2"/>
      <c r="D56" s="2"/>
      <c r="E56" s="2"/>
      <c r="F56" s="2"/>
      <c r="G56" s="2"/>
      <c r="H56" s="2"/>
    </row>
    <row r="57" spans="1:8" x14ac:dyDescent="0.25">
      <c r="A57" s="7" t="s">
        <v>52</v>
      </c>
      <c r="B57" s="10">
        <v>1.5</v>
      </c>
      <c r="C57" s="2"/>
      <c r="D57" s="2"/>
      <c r="E57" s="2"/>
      <c r="F57" s="2"/>
      <c r="G57" s="2"/>
      <c r="H57" s="2"/>
    </row>
    <row r="58" spans="1:8" x14ac:dyDescent="0.25">
      <c r="A58" s="7" t="s">
        <v>53</v>
      </c>
      <c r="B58" s="12">
        <f>B57/100*B56</f>
      </c>
      <c r="C58" s="2"/>
      <c r="D58" s="2"/>
      <c r="E58" s="2"/>
      <c r="F58" s="2"/>
      <c r="G58" s="2"/>
      <c r="H58" s="2"/>
    </row>
    <row r="59" spans="1:8" x14ac:dyDescent="0.25">
      <c r="A59" s="7" t="s">
        <v>54</v>
      </c>
      <c r="B59" s="10">
        <v>0</v>
      </c>
      <c r="C59" s="2"/>
      <c r="D59" s="2"/>
      <c r="E59" s="2"/>
      <c r="F59" s="2"/>
      <c r="G59" s="2"/>
      <c r="H59" s="2"/>
    </row>
    <row r="60" spans="1:8" x14ac:dyDescent="0.25">
      <c r="A60" s="7" t="s">
        <v>55</v>
      </c>
      <c r="B60" s="12">
        <f>B59/100*B56</f>
      </c>
      <c r="C60" s="2"/>
      <c r="D60" s="2"/>
      <c r="E60" s="2"/>
      <c r="F60" s="2"/>
      <c r="G60" s="2"/>
      <c r="H60" s="2"/>
    </row>
    <row r="62" ht="22" customHeight="1" spans="1:8" x14ac:dyDescent="0.25">
      <c r="A62" s="6" t="s">
        <v>56</v>
      </c>
      <c r="B62" s="6"/>
      <c r="C62" s="6"/>
      <c r="D62" s="6"/>
      <c r="E62" s="6"/>
      <c r="F62" s="6"/>
      <c r="G62" s="6"/>
      <c r="H62" s="6"/>
    </row>
    <row r="63" ht="20" customHeight="1" spans="1:8" x14ac:dyDescent="0.25">
      <c r="A63" s="21" t="s">
        <v>57</v>
      </c>
      <c r="B63" s="22">
        <f>H41-B53-B58-B60</f>
      </c>
      <c r="C63" s="2"/>
      <c r="D63" s="2"/>
      <c r="E63" s="2"/>
      <c r="F63" s="2"/>
      <c r="G63" s="2"/>
      <c r="H63" s="2"/>
    </row>
    <row r="64" ht="20" customHeight="1" spans="1:8" x14ac:dyDescent="0.25">
      <c r="A64" s="21" t="s">
        <v>58</v>
      </c>
      <c r="B64" s="23">
        <f>IF(B44=0,"",B63/B44*100)</f>
      </c>
      <c r="C64" s="2"/>
      <c r="D64" s="2"/>
      <c r="E64" s="2"/>
      <c r="F64" s="2"/>
      <c r="G64" s="2"/>
      <c r="H64" s="2"/>
    </row>
    <row r="65" ht="20" customHeight="1" spans="1:8" x14ac:dyDescent="0.25">
      <c r="A65" s="21" t="s">
        <v>59</v>
      </c>
      <c r="B65" s="24">
        <f>IF(B46=0,"",B63/B46*100)</f>
      </c>
      <c r="C65" s="2"/>
      <c r="D65" s="2"/>
      <c r="E65" s="2"/>
      <c r="F65" s="2"/>
      <c r="G65" s="2"/>
      <c r="H65" s="2"/>
    </row>
  </sheetData>
  <mergeCells count="9">
    <mergeCell ref="A1:H1"/>
    <mergeCell ref="A2:H2"/>
    <mergeCell ref="A3:H3"/>
    <mergeCell ref="A5:H5"/>
    <mergeCell ref="A15:H15"/>
    <mergeCell ref="A24:H24"/>
    <mergeCell ref="A43:H43"/>
    <mergeCell ref="A55:H55"/>
    <mergeCell ref="A62:H62"/>
  </mergeCells>
  <dataValidations count="1">
    <dataValidation type="list" allowBlank="1" sqref="B17:B21">
      <formula1>"je Haus,Pauschal"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E2785303C912149A04DE89A613E5394" ma:contentTypeVersion="13" ma:contentTypeDescription="Ein neues Dokument erstellen." ma:contentTypeScope="" ma:versionID="b6101335b9ab436ddf6e35a5004be279">
  <xsd:schema xmlns:xsd="http://www.w3.org/2001/XMLSchema" xmlns:xs="http://www.w3.org/2001/XMLSchema" xmlns:p="http://schemas.microsoft.com/office/2006/metadata/properties" xmlns:ns2="a3ade7e7-481b-4e82-8c10-5393c7a89af2" xmlns:ns3="b4089d26-2b4a-4f0c-a9fd-3db258d3c647" targetNamespace="http://schemas.microsoft.com/office/2006/metadata/properties" ma:root="true" ma:fieldsID="cd2604c21e3514213a3fb7ff7151477f" ns2:_="" ns3:_="">
    <xsd:import namespace="a3ade7e7-481b-4e82-8c10-5393c7a89af2"/>
    <xsd:import namespace="b4089d26-2b4a-4f0c-a9fd-3db258d3c6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de7e7-481b-4e82-8c10-5393c7a89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ede9c1f1-da58-46b9-b263-eb9a6258ab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089d26-2b4a-4f0c-a9fd-3db258d3c64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fc3384a-21fb-4f40-96d3-28f5462baf42}" ma:internalName="TaxCatchAll" ma:showField="CatchAllData" ma:web="b4089d26-2b4a-4f0c-a9fd-3db258d3c6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089d26-2b4a-4f0c-a9fd-3db258d3c647" xsi:nil="true"/>
    <lcf76f155ced4ddcb4097134ff3c332f xmlns="a3ade7e7-481b-4e82-8c10-5393c7a89a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BF102A-A12E-458C-9761-9DA1BE9EEFDA}"/>
</file>

<file path=customXml/itemProps2.xml><?xml version="1.0" encoding="utf-8"?>
<ds:datastoreItem xmlns:ds="http://schemas.openxmlformats.org/officeDocument/2006/customXml" ds:itemID="{2CC407D5-B565-4931-8174-EC87490BC785}"/>
</file>

<file path=customXml/itemProps3.xml><?xml version="1.0" encoding="utf-8"?>
<ds:datastoreItem xmlns:ds="http://schemas.openxmlformats.org/officeDocument/2006/customXml" ds:itemID="{2DB08799-D7F1-4D47-BC0B-0093029B1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Kalkulation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Pipeline-CRM</dc:creator>
  <cp:keywords/>
  <dc:description/>
  <cp:lastModifiedBy>Unknown</cp:lastModifiedBy>
  <dcterms:created xsi:type="dcterms:W3CDTF">2026-08-07T09:27:28Z</dcterms:created>
  <dcterms:modified xsi:type="dcterms:W3CDTF">2026-08-07T09:27:28Z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711300</vt:r8>
  </property>
  <property fmtid="{D5CDD505-2E9C-101B-9397-08002B2CF9AE}" pid="3" name="ContentTypeId">
    <vt:lpwstr>0x0101000E2785303C912149A04DE89A613E5394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